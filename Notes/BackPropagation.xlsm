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hgazure-my.sharepoint.com/personal/luigi_neri_optum_com/Documents/Courses/45. DeepLearningUdacity/DeepLearning/Notes/"/>
    </mc:Choice>
  </mc:AlternateContent>
  <xr:revisionPtr revIDLastSave="100" documentId="8_{FD89BB41-9E38-4803-86C8-08C103D9C7D7}" xr6:coauthVersionLast="44" xr6:coauthVersionMax="44" xr10:uidLastSave="{43F5557B-5DB6-408C-9B38-628108ECB189}"/>
  <bookViews>
    <workbookView xWindow="-28920" yWindow="-120" windowWidth="29040" windowHeight="15840" xr2:uid="{5E1D6A5D-31BE-4F8E-BB70-3BBAC078F1C0}"/>
  </bookViews>
  <sheets>
    <sheet name="Sheet1" sheetId="1" r:id="rId1"/>
  </sheets>
  <functionGroups builtInGroupCount="19"/>
  <definedNames>
    <definedName name="eta">Sheet1!$AB$4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3" i="1" l="1"/>
  <c r="M46" i="1"/>
  <c r="L46" i="1"/>
  <c r="M45" i="1"/>
  <c r="L45" i="1"/>
  <c r="M38" i="1"/>
  <c r="M35" i="1"/>
  <c r="M34" i="1"/>
  <c r="M33" i="1"/>
  <c r="L38" i="1"/>
  <c r="L35" i="1"/>
  <c r="L34" i="1"/>
  <c r="L33" i="1"/>
  <c r="E25" i="1"/>
  <c r="F20" i="1"/>
  <c r="E20" i="1"/>
  <c r="T8" i="1" a="1"/>
  <c r="T8" i="1" s="1"/>
  <c r="I8" i="1" a="1"/>
  <c r="I8" i="1" s="1"/>
  <c r="X8" i="1"/>
  <c r="W8" i="1"/>
  <c r="M8" i="1"/>
  <c r="L8" i="1"/>
  <c r="U8" i="1" l="1"/>
  <c r="J8" i="1"/>
</calcChain>
</file>

<file path=xl/sharedStrings.xml><?xml version="1.0" encoding="utf-8"?>
<sst xmlns="http://schemas.openxmlformats.org/spreadsheetml/2006/main" count="37" uniqueCount="24">
  <si>
    <t>Input</t>
  </si>
  <si>
    <t>Weights to hidden</t>
  </si>
  <si>
    <t>h1</t>
  </si>
  <si>
    <t>h2</t>
  </si>
  <si>
    <t>Bias</t>
  </si>
  <si>
    <t>Input to hidden</t>
  </si>
  <si>
    <t>Output from hidden</t>
  </si>
  <si>
    <t>Weights to output</t>
  </si>
  <si>
    <t>o1</t>
  </si>
  <si>
    <t>o2</t>
  </si>
  <si>
    <t>Input to output</t>
  </si>
  <si>
    <t>Output</t>
  </si>
  <si>
    <t>ERROR CALCULATION</t>
  </si>
  <si>
    <t>Target</t>
  </si>
  <si>
    <t>Error</t>
  </si>
  <si>
    <t>E1</t>
  </si>
  <si>
    <t>E2</t>
  </si>
  <si>
    <t>E</t>
  </si>
  <si>
    <t>BACKWARDS PASS</t>
  </si>
  <si>
    <t>FORWARD PASS</t>
  </si>
  <si>
    <t>w5, w6</t>
  </si>
  <si>
    <t>w7, w7</t>
  </si>
  <si>
    <t>New Weights 2</t>
  </si>
  <si>
    <t>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</si>
</sst>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1" fillId="2" borderId="1" xfId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523875</xdr:colOff>
      <xdr:row>10</xdr:row>
      <xdr:rowOff>148590</xdr:rowOff>
    </xdr:from>
    <xdr:to>
      <xdr:col>27</xdr:col>
      <xdr:colOff>473122</xdr:colOff>
      <xdr:row>44</xdr:row>
      <xdr:rowOff>124367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4DC7A3-92AA-4712-9E04-E106732EF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015490"/>
          <a:ext cx="7864522" cy="6260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9643-5F18-4F68-A6BB-4C3D2857B6BB}">
  <sheetPr codeName="Sheet1"/>
  <dimension ref="B1:AB46"/>
  <sheetViews>
    <sheetView tabSelected="1" topLeftCell="A4" workbookViewId="0">
      <selection activeCell="J33" sqref="J33"/>
    </sheetView>
  </sheetViews>
  <sheetFormatPr defaultRowHeight="14.4" x14ac:dyDescent="0.3"/>
  <sheetData>
    <row r="1" spans="2:28" ht="15" thickBot="1" x14ac:dyDescent="0.35">
      <c r="B1" s="2" t="s">
        <v>19</v>
      </c>
      <c r="C1" s="14"/>
      <c r="D1" s="3"/>
    </row>
    <row r="2" spans="2:28" x14ac:dyDescent="0.3">
      <c r="AB2" t="s">
        <v>23</v>
      </c>
    </row>
    <row r="3" spans="2:28" ht="15" thickBot="1" x14ac:dyDescent="0.35"/>
    <row r="4" spans="2:28" s="1" customFormat="1" ht="15" thickBot="1" x14ac:dyDescent="0.35">
      <c r="B4" s="4" t="s">
        <v>0</v>
      </c>
      <c r="D4" s="2" t="s">
        <v>1</v>
      </c>
      <c r="E4" s="3"/>
      <c r="G4" s="4" t="s">
        <v>4</v>
      </c>
      <c r="I4" s="2" t="s">
        <v>5</v>
      </c>
      <c r="J4" s="3"/>
      <c r="L4" s="2" t="s">
        <v>6</v>
      </c>
      <c r="M4" s="3"/>
      <c r="O4" s="2" t="s">
        <v>7</v>
      </c>
      <c r="P4" s="3"/>
      <c r="R4" s="4" t="s">
        <v>4</v>
      </c>
      <c r="T4" s="2" t="s">
        <v>10</v>
      </c>
      <c r="U4" s="3"/>
      <c r="W4" s="2" t="s">
        <v>11</v>
      </c>
      <c r="X4" s="3"/>
      <c r="AB4" s="15">
        <v>0.5</v>
      </c>
    </row>
    <row r="6" spans="2:28" x14ac:dyDescent="0.3">
      <c r="D6" t="s">
        <v>2</v>
      </c>
      <c r="E6" t="s">
        <v>3</v>
      </c>
      <c r="I6" t="s">
        <v>2</v>
      </c>
      <c r="J6" t="s">
        <v>3</v>
      </c>
      <c r="L6" t="s">
        <v>2</v>
      </c>
      <c r="M6" t="s">
        <v>3</v>
      </c>
      <c r="O6" t="s">
        <v>8</v>
      </c>
      <c r="P6" t="s">
        <v>9</v>
      </c>
      <c r="T6" t="s">
        <v>8</v>
      </c>
      <c r="U6" t="s">
        <v>9</v>
      </c>
      <c r="W6" t="s">
        <v>8</v>
      </c>
      <c r="X6" t="s">
        <v>9</v>
      </c>
    </row>
    <row r="7" spans="2:28" ht="15" thickBot="1" x14ac:dyDescent="0.35"/>
    <row r="8" spans="2:28" ht="15" thickBot="1" x14ac:dyDescent="0.35">
      <c r="B8" s="12">
        <v>0.05</v>
      </c>
      <c r="D8" s="8">
        <v>0.15</v>
      </c>
      <c r="E8" s="9">
        <v>0.25</v>
      </c>
      <c r="G8" s="7">
        <v>0.35</v>
      </c>
      <c r="I8" s="5">
        <f t="array" ref="I8:J8">MMULT(TRANSPOSE($B$8:$B$9),$D$8:$E$9)+$G$8</f>
        <v>0.3775</v>
      </c>
      <c r="J8" s="6">
        <v>0.39249999999999996</v>
      </c>
      <c r="L8" s="5">
        <f>SIGMOID(I8)</f>
        <v>0.59326999210718723</v>
      </c>
      <c r="M8" s="6">
        <f>SIGMOID(J8)</f>
        <v>0.59688437825976703</v>
      </c>
      <c r="O8" s="8">
        <v>0.4</v>
      </c>
      <c r="P8" s="9">
        <v>0.5</v>
      </c>
      <c r="R8" s="7">
        <v>0.6</v>
      </c>
      <c r="T8" s="5">
        <f t="array" ref="T8:U8">MMULT($L$8:$M$8,$O$8:$P$9)+$R$8</f>
        <v>1.10590596705977</v>
      </c>
      <c r="U8" s="6">
        <v>1.2249214040964653</v>
      </c>
      <c r="W8" s="5">
        <f>SIGMOID(T8)</f>
        <v>0.75136506955231563</v>
      </c>
      <c r="X8" s="6">
        <f t="shared" ref="X8" si="0">SIGMOID(U8)</f>
        <v>0.77292846532146253</v>
      </c>
    </row>
    <row r="9" spans="2:28" ht="15" thickBot="1" x14ac:dyDescent="0.35">
      <c r="B9" s="13">
        <v>0.1</v>
      </c>
      <c r="D9" s="10">
        <v>0.2</v>
      </c>
      <c r="E9" s="11">
        <v>0.3</v>
      </c>
      <c r="O9" s="10">
        <v>0.45</v>
      </c>
      <c r="P9" s="11">
        <v>0.55000000000000004</v>
      </c>
    </row>
    <row r="12" spans="2:28" ht="15" thickBot="1" x14ac:dyDescent="0.35"/>
    <row r="13" spans="2:28" ht="15" thickBot="1" x14ac:dyDescent="0.35">
      <c r="B13" s="2" t="s">
        <v>12</v>
      </c>
      <c r="C13" s="14"/>
      <c r="D13" s="3"/>
    </row>
    <row r="15" spans="2:28" ht="15" thickBot="1" x14ac:dyDescent="0.35"/>
    <row r="16" spans="2:28" ht="15" thickBot="1" x14ac:dyDescent="0.35">
      <c r="B16" s="2" t="s">
        <v>13</v>
      </c>
      <c r="C16" s="3"/>
      <c r="E16" s="2" t="s">
        <v>14</v>
      </c>
      <c r="F16" s="3"/>
    </row>
    <row r="18" spans="2:13" x14ac:dyDescent="0.3">
      <c r="B18" t="s">
        <v>8</v>
      </c>
      <c r="C18" t="s">
        <v>9</v>
      </c>
      <c r="E18" t="s">
        <v>15</v>
      </c>
      <c r="F18" t="s">
        <v>16</v>
      </c>
    </row>
    <row r="19" spans="2:13" ht="15" thickBot="1" x14ac:dyDescent="0.35"/>
    <row r="20" spans="2:13" ht="15" thickBot="1" x14ac:dyDescent="0.35">
      <c r="B20" s="5">
        <v>0.01</v>
      </c>
      <c r="C20" s="6">
        <v>0.99</v>
      </c>
      <c r="E20" s="5">
        <f>1/COUNT($B$20:$C$20)*(B20-W8)^2</f>
        <v>0.27481108317615488</v>
      </c>
      <c r="F20" s="6">
        <f>1/COUNT($B$20:$C$20)*(C20-X8)^2</f>
        <v>2.3560025583847746E-2</v>
      </c>
    </row>
    <row r="23" spans="2:13" x14ac:dyDescent="0.3">
      <c r="E23" t="s">
        <v>17</v>
      </c>
    </row>
    <row r="24" spans="2:13" ht="15" thickBot="1" x14ac:dyDescent="0.35"/>
    <row r="25" spans="2:13" ht="15" thickBot="1" x14ac:dyDescent="0.35">
      <c r="E25" s="7">
        <f>SUM(E20:F20)</f>
        <v>0.29837110876000261</v>
      </c>
    </row>
    <row r="28" spans="2:13" ht="15" thickBot="1" x14ac:dyDescent="0.35"/>
    <row r="29" spans="2:13" ht="15" thickBot="1" x14ac:dyDescent="0.35">
      <c r="B29" s="2" t="s">
        <v>18</v>
      </c>
      <c r="C29" s="14"/>
      <c r="D29" s="3"/>
    </row>
    <row r="31" spans="2:13" x14ac:dyDescent="0.3">
      <c r="L31" t="s">
        <v>8</v>
      </c>
      <c r="M31" t="s">
        <v>9</v>
      </c>
    </row>
    <row r="33" spans="10:13" x14ac:dyDescent="0.3">
      <c r="J33">
        <f>(W8-B20)*T8*(1-T8)</f>
        <v>-8.6830190011753017E-2</v>
      </c>
      <c r="L33">
        <f>(W8-B20)</f>
        <v>0.74136506955231563</v>
      </c>
      <c r="M33">
        <f>(X8-C20)</f>
        <v>-0.21707153467853746</v>
      </c>
    </row>
    <row r="34" spans="10:13" x14ac:dyDescent="0.3">
      <c r="L34">
        <f>W8*(1-W8)</f>
        <v>0.18681560180895954</v>
      </c>
      <c r="M34">
        <f>X8*(1-X8)</f>
        <v>0.17551005281727122</v>
      </c>
    </row>
    <row r="35" spans="10:13" x14ac:dyDescent="0.3">
      <c r="L35">
        <f>L8</f>
        <v>0.59326999210718723</v>
      </c>
      <c r="M35">
        <f>M8</f>
        <v>0.59688437825976703</v>
      </c>
    </row>
    <row r="37" spans="10:13" x14ac:dyDescent="0.3">
      <c r="L37" t="s">
        <v>20</v>
      </c>
      <c r="M37" t="s">
        <v>21</v>
      </c>
    </row>
    <row r="38" spans="10:13" x14ac:dyDescent="0.3">
      <c r="L38">
        <f>L33*L34*L35</f>
        <v>8.2167040564230784E-2</v>
      </c>
      <c r="M38">
        <f>M33*M34*M35</f>
        <v>-2.2740242215978219E-2</v>
      </c>
    </row>
    <row r="41" spans="10:13" ht="15" thickBot="1" x14ac:dyDescent="0.35"/>
    <row r="42" spans="10:13" ht="15" thickBot="1" x14ac:dyDescent="0.35">
      <c r="L42" s="2" t="s">
        <v>22</v>
      </c>
      <c r="M42" s="3"/>
    </row>
    <row r="44" spans="10:13" ht="15" thickBot="1" x14ac:dyDescent="0.35"/>
    <row r="45" spans="10:13" x14ac:dyDescent="0.3">
      <c r="L45" s="8">
        <f>O8-eta*L$38</f>
        <v>0.35891647971788465</v>
      </c>
      <c r="M45" s="9">
        <f>P8-eta*M$38</f>
        <v>0.51137012110798907</v>
      </c>
    </row>
    <row r="46" spans="10:13" ht="15" thickBot="1" x14ac:dyDescent="0.35">
      <c r="L46" s="10">
        <f>O9-eta*L$38</f>
        <v>0.40891647971788464</v>
      </c>
      <c r="M46" s="11">
        <f>P9-eta*M$38</f>
        <v>0.56137012110798912</v>
      </c>
    </row>
  </sheetData>
  <mergeCells count="12">
    <mergeCell ref="B1:D1"/>
    <mergeCell ref="B13:D13"/>
    <mergeCell ref="B16:C16"/>
    <mergeCell ref="E16:F16"/>
    <mergeCell ref="B29:D29"/>
    <mergeCell ref="L42:M42"/>
    <mergeCell ref="I4:J4"/>
    <mergeCell ref="D4:E4"/>
    <mergeCell ref="L4:M4"/>
    <mergeCell ref="O4:P4"/>
    <mergeCell ref="T4:U4"/>
    <mergeCell ref="W4:X4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68E68D1CB96545A68821E2AF656126" ma:contentTypeVersion="13" ma:contentTypeDescription="Create a new document." ma:contentTypeScope="" ma:versionID="c701cf16b0365f23d8c46cdeb8c23129">
  <xsd:schema xmlns:xsd="http://www.w3.org/2001/XMLSchema" xmlns:xs="http://www.w3.org/2001/XMLSchema" xmlns:p="http://schemas.microsoft.com/office/2006/metadata/properties" xmlns:ns3="b0e291c4-f1b1-45b4-8f69-4e5a0ba0a5aa" xmlns:ns4="1c0b0a40-91f8-45d9-a0ed-17fc98620c9a" targetNamespace="http://schemas.microsoft.com/office/2006/metadata/properties" ma:root="true" ma:fieldsID="4c898bdb94d61a702086faea44690511" ns3:_="" ns4:_="">
    <xsd:import namespace="b0e291c4-f1b1-45b4-8f69-4e5a0ba0a5aa"/>
    <xsd:import namespace="1c0b0a40-91f8-45d9-a0ed-17fc98620c9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e291c4-f1b1-45b4-8f69-4e5a0ba0a5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0b0a40-91f8-45d9-a0ed-17fc98620c9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6BCD73-F0A5-47DD-A608-97CF164BC0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e291c4-f1b1-45b4-8f69-4e5a0ba0a5aa"/>
    <ds:schemaRef ds:uri="1c0b0a40-91f8-45d9-a0ed-17fc98620c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92B196B-F25B-48E7-B7C8-AE7198B392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63F388-89D2-4CC5-B519-C11BAA0DD845}">
  <ds:schemaRefs>
    <ds:schemaRef ds:uri="1c0b0a40-91f8-45d9-a0ed-17fc98620c9a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b0e291c4-f1b1-45b4-8f69-4e5a0ba0a5aa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Neri, Luigi</dc:creator>
  <cp:lastModifiedBy>Neri, Luigi</cp:lastModifiedBy>
  <dcterms:created xsi:type="dcterms:W3CDTF">2021-01-30T16:16:38Z</dcterms:created>
  <dcterms:modified xsi:type="dcterms:W3CDTF">2021-02-01T09:01:39Z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0x0101003A68E68D1CB96545A68821E2AF656126</vt:lpwstr>
  </property>
</Properties>
</file>